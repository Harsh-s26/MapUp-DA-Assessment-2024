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jyo14\Downloads\"/>
    </mc:Choice>
  </mc:AlternateContent>
  <xr:revisionPtr revIDLastSave="0" documentId="13_ncr:1_{05CA1C0E-F701-4D24-AB3C-9600F910189E}" xr6:coauthVersionLast="36" xr6:coauthVersionMax="47" xr10:uidLastSave="{00000000-0000-0000-0000-000000000000}"/>
  <bookViews>
    <workbookView xWindow="0" yWindow="504" windowWidth="29400" windowHeight="162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F30" i="18"/>
  <c r="F29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30" i="18"/>
  <c r="E29" i="18"/>
  <c r="E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30" i="18"/>
  <c r="D29" i="18"/>
  <c r="D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30" i="18"/>
  <c r="C29" i="18"/>
  <c r="C28" i="18"/>
  <c r="B30" i="18"/>
  <c r="B29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5" i="15"/>
  <c r="H42" i="1"/>
  <c r="B28" i="18" l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<sst xmlns="http://schemas.openxmlformats.org/spreadsheetml/2006/main" count="406" uniqueCount="183">
  <si>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</si>
  <si>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</si>
  <si>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</si>
  <si>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</si>
  <si>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</si>
  <si>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</si>
  <si>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</si>
  <si>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</si>
  <si>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</si>
  <si>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</si>
  <si>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</si>
  <si>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</si>
  <si>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</si>
  <si>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</si>
  <si>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</si>
  <si>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</si>
  <si>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</si>
  <si>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</si>
  <si>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</si>
  <si>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</si>
  <si>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</si>
  <si>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</si>
  <si>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</si>
  <si>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</si>
  <si>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</si>
  <si>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</si>
  <si>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</si>
  <si>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</si>
  <si>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</si>
  <si>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</si>
  <si>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</si>
  <si>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</si>
  <si>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</si>
  <si>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</si>
  <si>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</si>
  <si>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</si>
  <si>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</si>
  <si>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</si>
  <si>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</si>
  <si>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</si>
  <si>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</si>
  <si>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</si>
  <si>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</si>
  <si>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</si>
  <si>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</si>
  <si>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</si>
  <si>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</si>
  <si>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</si>
  <si>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</si>
  <si>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</si>
  <si>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</si>
  <si>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</si>
  <si>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</si>
  <si>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</si>
  <si>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</si>
  <si>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</si>
  <si>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</si>
  <si>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</si>
  <si>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</si>
  <si>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</si>
  <si>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</si>
  <si>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</si>
  <si>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</si>
  <si>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</si>
  <si>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</si>
  <si>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</si>
  <si>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</si>
  <si>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</si>
  <si>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</si>
  <si>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</si>
  <si>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</si>
  <si>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</si>
  <si>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</si>
  <si>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</si>
  <si>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</si>
  <si>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</si>
  <si>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</si>
  <si>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</si>
  <si>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</si>
  <si>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</si>
  <si>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</si>
  <si>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</si>
  <si>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</si>
  <si>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</si>
  <si>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</si>
  <si>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</si>
  <si>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</si>
  <si>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</si>
  <si>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</si>
  <si>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</si>
  <si>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</si>
  <si>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</si>
  <si>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</si>
  <si>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</si>
  <si>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</si>
  <si>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</si>
  <si>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</si>
  <si>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</si>
  <si>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</si>
  <si>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</si>
  <si>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</si>
  <si>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</si>
  <si>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</si>
  <si>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</si>
  <si>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</si>
  <si>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</si>
  <si>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</si>
  <si>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</si>
  <si>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</si>
  <si>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</si>
  <si>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</si>
  <si>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</si>
  <si>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</si>
  <si>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</si>
  <si>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</si>
  <si>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</si>
  <si>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</si>
  <si>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</si>
  <si>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</si>
  <si>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</si>
  <si>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</si>
  <si>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</si>
  <si>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</si>
  <si>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</si>
  <si>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</si>
  <si>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</si>
  <si>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</si>
  <si>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</si>
  <si>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</si>
  <si>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</si>
  <si>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</si>
  <si>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</si>
  <si>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</si>
  <si>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</si>
  <si>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</si>
  <si>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</si>
  <si>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</si>
  <si>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</si>
  <si>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</si>
  <si>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</si>
  <si>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</si>
  <si>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</si>
  <si>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</si>
  <si>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</si>
  <si>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</si>
  <si>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</si>
  <si>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</si>
  <si>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</si>
  <si>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</si>
  <si>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</si>
  <si>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</si>
  <si>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</si>
  <si>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</si>
  <si>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</si>
  <si>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</si>
  <si>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</si>
  <si>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</si>
  <si>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</si>
  <si>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</si>
  <si>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</si>
  <si>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</si>
  <si>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</si>
  <si>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</si>
  <si>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</si>
  <si>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</si>
  <si>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</si>
  <si>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</si>
  <si>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</si>
  <si>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</si>
  <si>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</si>
  <si>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</si>
  <si>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</si>
  <si>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</si>
  <si>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</si>
  <si>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</si>
  <si>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</si>
  <si>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All 20 values must be substituted with the value '20'</t>
  </si>
  <si>
    <t>Used Find and Replace, then used Sum function .</t>
  </si>
  <si>
    <t>First,selected the column Sales, then used Find and Replace function to replace #N/A values with 20. After replacing the rows with 20, used Sum function to add all the values.</t>
  </si>
  <si>
    <t>Used Index,Match and VLOOKUP function</t>
  </si>
  <si>
    <t>1) Used VLOOKUP to convert the IDs in Table A to their letter names by looking up in Table B.</t>
  </si>
  <si>
    <t>3) Used INDEX to find these positions to intersect to value in Table A which gives us the value.</t>
  </si>
  <si>
    <t>2)Then, MATCH finds where these letters are positioned in Table A's header.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</si>
</sst>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2">
    <dxf>
      <font>
        <color rgb="FF00B050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175</v>
      </c>
      <c r="C4" s="1"/>
    </row>
    <row r="5" spans="1:3" x14ac:dyDescent="0.3">
      <c r="A5" s="2" t="s">
        <v>151</v>
      </c>
    </row>
    <row r="8" spans="1:3" x14ac:dyDescent="0.3">
      <c r="A8" s="2" t="s">
        <v>171</v>
      </c>
    </row>
    <row r="9" spans="1:3" x14ac:dyDescent="0.3">
      <c r="A9" s="36" t="s">
        <v>169</v>
      </c>
      <c r="B9" s="26" t="s">
        <v>167</v>
      </c>
    </row>
    <row r="10" spans="1:3" x14ac:dyDescent="0.3">
      <c r="A10" s="35" t="s">
        <v>170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M1" zoomScaleNormal="100" workbookViewId="0">
      <pane ySplit="1" topLeftCell="A2" activePane="bottomLeft" state="frozen"/>
      <selection activeCell="L1" sqref="L1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6.777343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">
      <c r="H42" s="1">
        <f>IF(H1&gt;20,SUM(H2:H40))</f>
        <v>1540.5000000000002</v>
      </c>
    </row>
  </sheetData>
  <conditionalFormatting sqref="A1:A1048576">
    <cfRule type="duplicateValues" dxfId="10" priority="6"/>
  </conditionalFormatting>
  <conditionalFormatting sqref="B1:B1048576">
    <cfRule type="duplicateValues" dxfId="9" priority="5"/>
  </conditionalFormatting>
  <conditionalFormatting sqref="J1:J1048576">
    <cfRule type="cellIs" dxfId="8" priority="4" operator="equal">
      <formula>0</formula>
    </cfRule>
    <cfRule type="cellIs" dxfId="7" priority="3" operator="equal">
      <formula>-1</formula>
    </cfRule>
  </conditionalFormatting>
  <conditionalFormatting sqref="K1:L1048576">
    <cfRule type="cellIs" dxfId="0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IF(Dataset!H1&gt;20,SUM(Dataset!H2:H40))</f>
        <v>1540.5000000000002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VLOOKUP(A6,Dataset!$A$2:$G$40,7,)</f>
        <v>2.7</v>
      </c>
      <c r="C6" s="12">
        <f>VLOOKUP(A6,Dataset!$A$2:$N$40,14,FALSE)</f>
        <v>7.6</v>
      </c>
      <c r="D6" s="12">
        <f>VLOOKUP(A6,Dataset!$A$2:$R$40,18,FALSE)</f>
        <v>4.2</v>
      </c>
      <c r="E6" s="12">
        <f>INDEX(Dataset!$T$2:$T$40, MATCH(A6, Dataset!$A$2:$A$40, 0))</f>
        <v>8.9</v>
      </c>
      <c r="F6" s="8">
        <f>INDEX(Dataset!$V$2:$V$40, MATCH(A6, Dataset!$A$2:$A$40, 0))</f>
        <v>4.2</v>
      </c>
    </row>
    <row r="7" spans="1:7" ht="14.4" x14ac:dyDescent="0.3">
      <c r="A7" s="7" t="s">
        <v>4</v>
      </c>
      <c r="B7" s="12">
        <f>VLOOKUP(A7,Dataset!$A$2:$G$40,7,)</f>
        <v>2.7</v>
      </c>
      <c r="C7" s="12">
        <f>VLOOKUP(A7,Dataset!$A$2:$N$40,14,FALSE)</f>
        <v>7.6</v>
      </c>
      <c r="D7" s="12">
        <f>VLOOKUP(A7,Dataset!$A$2:$R$40,18,FALSE)</f>
        <v>4.2</v>
      </c>
      <c r="E7" s="12">
        <f>INDEX(Dataset!$T$2:$T$40, MATCH(A7, Dataset!$A$2:$A$40, 0))</f>
        <v>8.9</v>
      </c>
      <c r="F7" s="8">
        <f>INDEX(Dataset!$V$2:$V$40, MATCH(A7, Dataset!$A$2:$A$40, 0))</f>
        <v>4.2</v>
      </c>
    </row>
    <row r="8" spans="1:7" ht="14.4" x14ac:dyDescent="0.3">
      <c r="A8" s="7" t="s">
        <v>7</v>
      </c>
      <c r="B8" s="12">
        <f>VLOOKUP(A8,Dataset!$A$2:$G$40,7,)</f>
        <v>3.6</v>
      </c>
      <c r="C8" s="12">
        <f>VLOOKUP(A8,Dataset!$A$2:$N$40,14,FALSE)</f>
        <v>11.1</v>
      </c>
      <c r="D8" s="12">
        <f>VLOOKUP(A8,Dataset!$A$2:$R$40,18,FALSE)</f>
        <v>5.8</v>
      </c>
      <c r="E8" s="12">
        <f>INDEX(Dataset!$T$2:$T$40, MATCH(A8, Dataset!$A$2:$A$40, 0))</f>
        <v>12.2</v>
      </c>
      <c r="F8" s="8">
        <f>INDEX(Dataset!$V$2:$V$40, MATCH(A8, Dataset!$A$2:$A$40, 0))</f>
        <v>5.8</v>
      </c>
    </row>
    <row r="9" spans="1:7" ht="14.4" x14ac:dyDescent="0.3">
      <c r="A9" s="7" t="s">
        <v>8</v>
      </c>
      <c r="B9" s="12">
        <f>VLOOKUP(A9,Dataset!$A$2:$G$40,7,)</f>
        <v>4.9000000000000004</v>
      </c>
      <c r="C9" s="12">
        <f>VLOOKUP(A9,Dataset!$A$2:$N$40,14,FALSE)</f>
        <v>13.3</v>
      </c>
      <c r="D9" s="12">
        <f>VLOOKUP(A9,Dataset!$A$2:$R$40,18,FALSE)</f>
        <v>8.1</v>
      </c>
      <c r="E9" s="12">
        <f>INDEX(Dataset!$T$2:$T$40, MATCH(A9, Dataset!$A$2:$A$40, 0))</f>
        <v>17</v>
      </c>
      <c r="F9" s="8">
        <f>INDEX(Dataset!$V$2:$V$40, MATCH(A9, Dataset!$A$2:$A$40, 0))</f>
        <v>8.1</v>
      </c>
    </row>
    <row r="10" spans="1:7" ht="14.4" x14ac:dyDescent="0.3">
      <c r="A10" s="7" t="s">
        <v>11</v>
      </c>
      <c r="B10" s="12">
        <f>VLOOKUP(A10,Dataset!$A$2:$G$40,7,)</f>
        <v>9.4</v>
      </c>
      <c r="C10" s="12">
        <f>VLOOKUP(A10,Dataset!$A$2:$N$40,14,FALSE)</f>
        <v>28.3</v>
      </c>
      <c r="D10" s="12">
        <f>VLOOKUP(A10,Dataset!$A$2:$R$40,18,FALSE)</f>
        <v>16.100000000000001</v>
      </c>
      <c r="E10" s="12">
        <f>INDEX(Dataset!$T$2:$T$40, MATCH(A10, Dataset!$A$2:$A$40, 0))</f>
        <v>32.799999999999997</v>
      </c>
      <c r="F10" s="8">
        <f>INDEX(Dataset!$V$2:$V$40, MATCH(A10, Dataset!$A$2:$A$40, 0))</f>
        <v>16.100000000000001</v>
      </c>
    </row>
    <row r="11" spans="1:7" ht="14.4" x14ac:dyDescent="0.3">
      <c r="A11" s="7" t="s">
        <v>12</v>
      </c>
      <c r="B11" s="12">
        <f>VLOOKUP(A11,Dataset!$A$2:$G$40,7,)</f>
        <v>11.6</v>
      </c>
      <c r="C11" s="12">
        <f>VLOOKUP(A11,Dataset!$A$2:$N$40,14,FALSE)</f>
        <v>35.200000000000003</v>
      </c>
      <c r="D11" s="12">
        <f>VLOOKUP(A11,Dataset!$A$2:$R$40,18,FALSE)</f>
        <v>21.3</v>
      </c>
      <c r="E11" s="12">
        <f>INDEX(Dataset!$T$2:$T$40, MATCH(A11, Dataset!$A$2:$A$40, 0))</f>
        <v>43</v>
      </c>
      <c r="F11" s="8">
        <f>INDEX(Dataset!$V$2:$V$40, MATCH(A11, Dataset!$A$2:$A$40, 0))</f>
        <v>21.3</v>
      </c>
    </row>
    <row r="12" spans="1:7" ht="14.4" x14ac:dyDescent="0.3">
      <c r="A12" s="7" t="s">
        <v>14</v>
      </c>
      <c r="B12" s="12">
        <f>VLOOKUP(A12,Dataset!$A$2:$G$40,7,)</f>
        <v>18.399999999999999</v>
      </c>
      <c r="C12" s="12">
        <f>VLOOKUP(A12,Dataset!$A$2:$N$40,14,FALSE)</f>
        <v>55.6</v>
      </c>
      <c r="D12" s="12">
        <f>VLOOKUP(A12,Dataset!$A$2:$R$40,18,FALSE)</f>
        <v>33.799999999999997</v>
      </c>
      <c r="E12" s="12">
        <f>INDEX(Dataset!$T$2:$T$40, MATCH(A12, Dataset!$A$2:$A$40, 0))</f>
        <v>67.900000000000006</v>
      </c>
      <c r="F12" s="8">
        <f>INDEX(Dataset!$V$2:$V$40, MATCH(A12, Dataset!$A$2:$A$40, 0))</f>
        <v>33.799999999999997</v>
      </c>
    </row>
    <row r="13" spans="1:7" ht="14.4" x14ac:dyDescent="0.3">
      <c r="A13" s="7" t="s">
        <v>15</v>
      </c>
      <c r="B13" s="12">
        <f>VLOOKUP(A13,Dataset!$A$2:$G$40,7,)</f>
        <v>0</v>
      </c>
      <c r="C13" s="12">
        <f>VLOOKUP(A13,Dataset!$A$2:$N$40,14,FALSE)</f>
        <v>0</v>
      </c>
      <c r="D13" s="12">
        <f>VLOOKUP(A13,Dataset!$A$2:$R$40,18,FALSE)</f>
        <v>0</v>
      </c>
      <c r="E13" s="12">
        <f>INDEX(Dataset!$T$2:$T$40, MATCH(A13, Dataset!$A$2:$A$40, 0))</f>
        <v>0</v>
      </c>
      <c r="F13" s="8">
        <f>INDEX(Dataset!$V$2:$V$40, MATCH(A13, Dataset!$A$2:$A$40, 0))</f>
        <v>0</v>
      </c>
    </row>
    <row r="14" spans="1:7" ht="14.4" x14ac:dyDescent="0.3">
      <c r="A14" s="7" t="s">
        <v>16</v>
      </c>
      <c r="B14" s="12">
        <f>VLOOKUP(A14,Dataset!$A$2:$G$40,7,)</f>
        <v>21.9</v>
      </c>
      <c r="C14" s="12">
        <f>VLOOKUP(A14,Dataset!$A$2:$N$40,14,FALSE)</f>
        <v>61.5</v>
      </c>
      <c r="D14" s="12">
        <f>VLOOKUP(A14,Dataset!$A$2:$R$40,18,FALSE)</f>
        <v>40.1</v>
      </c>
      <c r="E14" s="12">
        <f>INDEX(Dataset!$T$2:$T$40, MATCH(A14, Dataset!$A$2:$A$40, 0))</f>
        <v>76.599999999999994</v>
      </c>
      <c r="F14" s="8">
        <f>INDEX(Dataset!$V$2:$V$40, MATCH(A14, Dataset!$A$2:$A$40, 0))</f>
        <v>40.1</v>
      </c>
    </row>
    <row r="15" spans="1:7" ht="14.4" x14ac:dyDescent="0.3">
      <c r="A15" s="7" t="s">
        <v>18</v>
      </c>
      <c r="B15" s="12">
        <f>VLOOKUP(A15,Dataset!$A$2:$G$40,7,)</f>
        <v>26.8</v>
      </c>
      <c r="C15" s="12">
        <f>VLOOKUP(A15,Dataset!$A$2:$N$40,14,FALSE)</f>
        <v>79.599999999999994</v>
      </c>
      <c r="D15" s="12">
        <f>VLOOKUP(A15,Dataset!$A$2:$R$40,18,FALSE)</f>
        <v>47.9</v>
      </c>
      <c r="E15" s="12">
        <f>INDEX(Dataset!$T$2:$T$40, MATCH(A15, Dataset!$A$2:$A$40, 0))</f>
        <v>96.8</v>
      </c>
      <c r="F15" s="8">
        <f>INDEX(Dataset!$V$2:$V$40, MATCH(A15, Dataset!$A$2:$A$40, 0))</f>
        <v>47.9</v>
      </c>
    </row>
    <row r="16" spans="1:7" ht="14.4" x14ac:dyDescent="0.3">
      <c r="A16" s="7" t="s">
        <v>20</v>
      </c>
      <c r="B16" s="12">
        <f>VLOOKUP(A16,Dataset!$A$2:$G$40,7,)</f>
        <v>28.5</v>
      </c>
      <c r="C16" s="12">
        <f>VLOOKUP(A16,Dataset!$A$2:$N$40,14,FALSE)</f>
        <v>85.4</v>
      </c>
      <c r="D16" s="12">
        <f>VLOOKUP(A16,Dataset!$A$2:$R$40,18,FALSE)</f>
        <v>52.3</v>
      </c>
      <c r="E16" s="12">
        <f>INDEX(Dataset!$T$2:$T$40, MATCH(A16, Dataset!$A$2:$A$40, 0))</f>
        <v>106.1</v>
      </c>
      <c r="F16" s="8">
        <f>INDEX(Dataset!$V$2:$V$40, MATCH(A16, Dataset!$A$2:$A$40, 0))</f>
        <v>52.3</v>
      </c>
    </row>
    <row r="17" spans="1:6" ht="14.4" x14ac:dyDescent="0.3">
      <c r="A17" s="7" t="s">
        <v>22</v>
      </c>
      <c r="B17" s="12">
        <f>VLOOKUP(A17,Dataset!$A$2:$G$40,7,)</f>
        <v>30.7</v>
      </c>
      <c r="C17" s="12">
        <f>VLOOKUP(A17,Dataset!$A$2:$N$40,14,FALSE)</f>
        <v>92.1</v>
      </c>
      <c r="D17" s="12">
        <f>VLOOKUP(A17,Dataset!$A$2:$R$40,18,FALSE)</f>
        <v>57</v>
      </c>
      <c r="E17" s="12">
        <f>INDEX(Dataset!$T$2:$T$40, MATCH(A17, Dataset!$A$2:$A$40, 0))</f>
        <v>115.1</v>
      </c>
      <c r="F17" s="8">
        <f>INDEX(Dataset!$V$2:$V$40, MATCH(A17, Dataset!$A$2:$A$40, 0))</f>
        <v>57</v>
      </c>
    </row>
    <row r="18" spans="1:6" ht="14.4" x14ac:dyDescent="0.3">
      <c r="A18" s="7" t="s">
        <v>23</v>
      </c>
      <c r="B18" s="12">
        <f>VLOOKUP(A18,Dataset!$A$2:$G$40,7,)</f>
        <v>33.799999999999997</v>
      </c>
      <c r="C18" s="12">
        <f>VLOOKUP(A18,Dataset!$A$2:$N$40,14,FALSE)</f>
        <v>101.3</v>
      </c>
      <c r="D18" s="12">
        <f>VLOOKUP(A18,Dataset!$A$2:$R$40,18,FALSE)</f>
        <v>61.4</v>
      </c>
      <c r="E18" s="12">
        <f>INDEX(Dataset!$T$2:$T$40, MATCH(A18, Dataset!$A$2:$A$40, 0))</f>
        <v>124.4</v>
      </c>
      <c r="F18" s="8">
        <f>INDEX(Dataset!$V$2:$V$40, MATCH(A18, Dataset!$A$2:$A$40, 0))</f>
        <v>61.4</v>
      </c>
    </row>
    <row r="19" spans="1:6" ht="14.4" x14ac:dyDescent="0.3">
      <c r="A19" s="7" t="s">
        <v>24</v>
      </c>
      <c r="B19" s="12">
        <f>VLOOKUP(A19,Dataset!$A$2:$G$40,7,)</f>
        <v>34.700000000000003</v>
      </c>
      <c r="C19" s="12">
        <f>VLOOKUP(A19,Dataset!$A$2:$N$40,14,FALSE)</f>
        <v>106.1</v>
      </c>
      <c r="D19" s="12">
        <f>VLOOKUP(A19,Dataset!$A$2:$R$40,18,FALSE)</f>
        <v>63.6</v>
      </c>
      <c r="E19" s="12">
        <f>INDEX(Dataset!$T$2:$T$40, MATCH(A19, Dataset!$A$2:$A$40, 0))</f>
        <v>128.6</v>
      </c>
      <c r="F19" s="8">
        <f>INDEX(Dataset!$V$2:$V$40, MATCH(A19, Dataset!$A$2:$A$40, 0))</f>
        <v>63.6</v>
      </c>
    </row>
    <row r="20" spans="1:6" ht="14.4" x14ac:dyDescent="0.3">
      <c r="A20" s="7" t="s">
        <v>28</v>
      </c>
      <c r="B20" s="12">
        <f>VLOOKUP(A20,Dataset!$A$2:$G$40,7,)</f>
        <v>0</v>
      </c>
      <c r="C20" s="12">
        <f>VLOOKUP(A20,Dataset!$A$2:$N$40,14,FALSE)</f>
        <v>0</v>
      </c>
      <c r="D20" s="12">
        <f>VLOOKUP(A20,Dataset!$A$2:$R$40,18,FALSE)</f>
        <v>0</v>
      </c>
      <c r="E20" s="12">
        <f>INDEX(Dataset!$T$2:$T$40, MATCH(A20, Dataset!$A$2:$A$40, 0))</f>
        <v>0</v>
      </c>
      <c r="F20" s="8">
        <f>INDEX(Dataset!$V$2:$V$40, MATCH(A20, Dataset!$A$2:$A$40, 0))</f>
        <v>0</v>
      </c>
    </row>
    <row r="21" spans="1:6" ht="14.4" x14ac:dyDescent="0.3">
      <c r="A21" s="7" t="s">
        <v>57</v>
      </c>
      <c r="B21" s="12">
        <f>VLOOKUP(A21,Dataset!$A$2:$G$40,7,)</f>
        <v>41.3</v>
      </c>
      <c r="C21" s="12">
        <f>VLOOKUP(A21,Dataset!$A$2:$N$40,14,FALSE)</f>
        <v>124.4</v>
      </c>
      <c r="D21" s="12">
        <f>VLOOKUP(A21,Dataset!$A$2:$R$40,18,FALSE)</f>
        <v>75</v>
      </c>
      <c r="E21" s="12">
        <f>INDEX(Dataset!$T$2:$T$40, MATCH(A21, Dataset!$A$2:$A$40, 0))</f>
        <v>151.5</v>
      </c>
      <c r="F21" s="8">
        <f>INDEX(Dataset!$V$2:$V$40, MATCH(A21, Dataset!$A$2:$A$40, 0))</f>
        <v>75</v>
      </c>
    </row>
    <row r="22" spans="1:6" ht="14.4" x14ac:dyDescent="0.3">
      <c r="A22" s="7" t="s">
        <v>58</v>
      </c>
      <c r="B22" s="12">
        <f>VLOOKUP(A22,Dataset!$A$2:$G$40,7,)</f>
        <v>-1</v>
      </c>
      <c r="C22" s="12">
        <f>VLOOKUP(A22,Dataset!$A$2:$N$40,14,FALSE)</f>
        <v>-1</v>
      </c>
      <c r="D22" s="12">
        <f>VLOOKUP(A22,Dataset!$A$2:$R$40,18,FALSE)</f>
        <v>-1</v>
      </c>
      <c r="E22" s="12">
        <f>INDEX(Dataset!$T$2:$T$40, MATCH(A22, Dataset!$A$2:$A$40, 0))</f>
        <v>-1</v>
      </c>
      <c r="F22" s="8">
        <f>INDEX(Dataset!$V$2:$V$40, MATCH(A22, Dataset!$A$2:$A$40, 0))</f>
        <v>-1</v>
      </c>
    </row>
    <row r="23" spans="1:6" ht="14.4" x14ac:dyDescent="0.3">
      <c r="A23" s="7" t="s">
        <v>31</v>
      </c>
      <c r="B23" s="12">
        <f>VLOOKUP(A23,Dataset!$A$2:$G$40,7,)</f>
        <v>45</v>
      </c>
      <c r="C23" s="12">
        <f>VLOOKUP(A23,Dataset!$A$2:$N$40,14,FALSE)</f>
        <v>133.4</v>
      </c>
      <c r="D23" s="12">
        <f>VLOOKUP(A23,Dataset!$A$2:$R$40,18,FALSE)</f>
        <v>79.400000000000006</v>
      </c>
      <c r="E23" s="12">
        <f>INDEX(Dataset!$T$2:$T$40, MATCH(A23, Dataset!$A$2:$A$40, 0))</f>
        <v>160.9</v>
      </c>
      <c r="F23" s="8">
        <f>INDEX(Dataset!$V$2:$V$40, MATCH(A23, Dataset!$A$2:$A$40, 0))</f>
        <v>79.400000000000006</v>
      </c>
    </row>
    <row r="24" spans="1:6" ht="14.4" x14ac:dyDescent="0.3">
      <c r="A24" s="7" t="s">
        <v>32</v>
      </c>
      <c r="B24" s="12">
        <f>VLOOKUP(A24,Dataset!$A$2:$G$40,7,)</f>
        <v>-1</v>
      </c>
      <c r="C24" s="12">
        <f>VLOOKUP(A24,Dataset!$A$2:$N$40,14,FALSE)</f>
        <v>-1</v>
      </c>
      <c r="D24" s="12">
        <f>VLOOKUP(A24,Dataset!$A$2:$R$40,18,FALSE)</f>
        <v>-1</v>
      </c>
      <c r="E24" s="12">
        <f>INDEX(Dataset!$T$2:$T$40, MATCH(A24, Dataset!$A$2:$A$40, 0))</f>
        <v>-1</v>
      </c>
      <c r="F24" s="8">
        <f>INDEX(Dataset!$V$2:$V$40, MATCH(A24, Dataset!$A$2:$A$40, 0))</f>
        <v>-1</v>
      </c>
    </row>
    <row r="25" spans="1:6" ht="14.4" x14ac:dyDescent="0.3">
      <c r="A25" s="7" t="s">
        <v>34</v>
      </c>
      <c r="B25" s="12">
        <f>VLOOKUP(A25,Dataset!$A$2:$G$40,7,)</f>
        <v>43.3</v>
      </c>
      <c r="C25" s="12">
        <f>VLOOKUP(A25,Dataset!$A$2:$N$40,14,FALSE)</f>
        <v>128.6</v>
      </c>
      <c r="D25" s="12">
        <f>VLOOKUP(A25,Dataset!$A$2:$R$40,18,FALSE)</f>
        <v>79.400000000000006</v>
      </c>
      <c r="E25" s="12">
        <f>INDEX(Dataset!$T$2:$T$40, MATCH(A25, Dataset!$A$2:$A$40, 0))</f>
        <v>160.9</v>
      </c>
      <c r="F25" s="8">
        <f>INDEX(Dataset!$V$2:$V$40, MATCH(A25, Dataset!$A$2:$A$40, 0))</f>
        <v>79.400000000000006</v>
      </c>
    </row>
    <row r="26" spans="1:6" ht="14.4" x14ac:dyDescent="0.3">
      <c r="A26" s="7" t="s">
        <v>37</v>
      </c>
      <c r="B26" s="12">
        <f>VLOOKUP(A26,Dataset!$A$2:$G$40,7,)</f>
        <v>49.1</v>
      </c>
      <c r="C26" s="12">
        <f>VLOOKUP(A26,Dataset!$A$2:$N$40,14,FALSE)</f>
        <v>146.80000000000001</v>
      </c>
      <c r="D26" s="12">
        <f>VLOOKUP(A26,Dataset!$A$2:$R$40,18,FALSE)</f>
        <v>90.9</v>
      </c>
      <c r="E26" s="12">
        <f>INDEX(Dataset!$T$2:$T$40, MATCH(A26, Dataset!$A$2:$A$40, 0))</f>
        <v>183.5</v>
      </c>
      <c r="F26" s="8">
        <f>INDEX(Dataset!$V$2:$V$40, MATCH(A26, Dataset!$A$2:$A$40, 0))</f>
        <v>90.9</v>
      </c>
    </row>
    <row r="27" spans="1:6" ht="14.4" x14ac:dyDescent="0.3">
      <c r="A27" s="7" t="s">
        <v>39</v>
      </c>
      <c r="B27" s="12">
        <f>VLOOKUP(A27,Dataset!$A$2:$G$40,7,)</f>
        <v>51.8</v>
      </c>
      <c r="C27" s="12">
        <f>VLOOKUP(A27,Dataset!$A$2:$N$40,14,FALSE)</f>
        <v>156.4</v>
      </c>
      <c r="D27" s="12">
        <f>VLOOKUP(A27,Dataset!$A$2:$R$40,18,FALSE)</f>
        <v>93.1</v>
      </c>
      <c r="E27" s="12">
        <f>INDEX(Dataset!$T$2:$T$40, MATCH(A27, Dataset!$A$2:$A$40, 0))</f>
        <v>188.1</v>
      </c>
      <c r="F27" s="8">
        <f>INDEX(Dataset!$V$2:$V$40, MATCH(A27, Dataset!$A$2:$A$40, 0))</f>
        <v>93.1</v>
      </c>
    </row>
    <row r="28" spans="1:6" ht="14.4" x14ac:dyDescent="0.3">
      <c r="A28" s="19" t="s">
        <v>82</v>
      </c>
      <c r="B28" s="12">
        <f>MIN(B6:B27)</f>
        <v>-1</v>
      </c>
      <c r="C28" s="12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12">
        <f>MAX(B6:B27)</f>
        <v>51.8</v>
      </c>
      <c r="C29" s="12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12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5" zoomScaleNormal="100" workbookViewId="0">
      <selection activeCell="G17" sqref="G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172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165</v>
      </c>
    </row>
    <row r="2" spans="1:3" ht="18" x14ac:dyDescent="0.35">
      <c r="B2" s="40" t="s">
        <v>176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177</v>
      </c>
    </row>
    <row r="7" spans="1:3" ht="14.4" x14ac:dyDescent="0.3">
      <c r="A7" s="3" t="s">
        <v>152</v>
      </c>
      <c r="B7" s="1" t="s">
        <v>178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>
        <v>20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20" sqref="L20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173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  <c r="C4" s="2" t="s">
        <v>179</v>
      </c>
    </row>
    <row r="5" spans="1:14" ht="18" x14ac:dyDescent="0.35">
      <c r="A5" s="43" t="s">
        <v>152</v>
      </c>
      <c r="B5" s="1"/>
      <c r="C5" s="2" t="s">
        <v>180</v>
      </c>
    </row>
    <row r="6" spans="1:14" ht="14.4" x14ac:dyDescent="0.3">
      <c r="A6" s="3"/>
      <c r="B6" s="1"/>
      <c r="C6" s="2" t="s">
        <v>182</v>
      </c>
    </row>
    <row r="7" spans="1:14" x14ac:dyDescent="0.3">
      <c r="C7" s="2" t="s">
        <v>181</v>
      </c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166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
    $A$10:$J$18,
    MATCH(
        VLOOKUP(A23,$M$10:$N$18,2,FALSE),
        $A$9:$J$9,
        0
    ),
    MATCH(
        VLOOKUP(B23,$M$10:$N$18,2,FALSE),
        $A$9:$J$9,
        0
    )
)</f>
        <v>-1</v>
      </c>
    </row>
    <row r="24" spans="1:14" ht="14.4" x14ac:dyDescent="0.3">
      <c r="A24" s="7">
        <v>10100</v>
      </c>
      <c r="B24" s="12">
        <v>10104</v>
      </c>
      <c r="C24" s="44">
        <f t="shared" ref="C24:C35" si="0">INDEX(
    $A$10:$J$18,
    MATCH(
        VLOOKUP(A24,$M$10:$N$18,2,FALSE),
        $A$9:$J$9,
        0
    ),
    MATCH(
        VLOOKUP(B24,$M$10:$N$18,2,FALSE),
        $A$9:$J$9,
        0
    )
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210</v>
      </c>
    </row>
    <row r="26" spans="1:14" ht="14.4" x14ac:dyDescent="0.3">
      <c r="A26" s="7">
        <v>10100</v>
      </c>
      <c r="B26" s="12">
        <v>10106</v>
      </c>
      <c r="C26" s="44">
        <f t="shared" si="0"/>
        <v>90</v>
      </c>
    </row>
    <row r="27" spans="1:14" ht="14.4" x14ac:dyDescent="0.3">
      <c r="A27" s="7">
        <v>10108</v>
      </c>
      <c r="B27" s="12">
        <v>10110</v>
      </c>
      <c r="C27" s="44">
        <f t="shared" si="0"/>
        <v>-1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-1</v>
      </c>
    </row>
    <row r="30" spans="1:14" ht="14.4" x14ac:dyDescent="0.3">
      <c r="A30" s="7">
        <v>10102</v>
      </c>
      <c r="B30" s="12">
        <v>10106</v>
      </c>
      <c r="C30" s="44">
        <f t="shared" si="0"/>
        <v>60</v>
      </c>
    </row>
    <row r="31" spans="1:14" ht="14.4" x14ac:dyDescent="0.3">
      <c r="A31" s="7">
        <v>10110</v>
      </c>
      <c r="B31" s="12">
        <v>10114</v>
      </c>
      <c r="C31" s="44">
        <f t="shared" si="0"/>
        <v>65</v>
      </c>
    </row>
    <row r="32" spans="1:14" ht="14.4" x14ac:dyDescent="0.3">
      <c r="A32" s="7">
        <v>10104</v>
      </c>
      <c r="B32" s="12">
        <v>10106</v>
      </c>
      <c r="C32" s="44">
        <f t="shared" si="0"/>
        <v>-1</v>
      </c>
    </row>
    <row r="33" spans="1:3" ht="14.4" x14ac:dyDescent="0.3">
      <c r="A33" s="7">
        <v>10110</v>
      </c>
      <c r="B33" s="12">
        <v>10112</v>
      </c>
      <c r="C33" s="44">
        <f t="shared" si="0"/>
        <v>-1</v>
      </c>
    </row>
    <row r="34" spans="1:3" ht="14.4" x14ac:dyDescent="0.3">
      <c r="A34" s="7">
        <v>10100</v>
      </c>
      <c r="B34" s="12">
        <v>10114</v>
      </c>
      <c r="C34" s="44">
        <f t="shared" si="0"/>
        <v>390</v>
      </c>
    </row>
    <row r="35" spans="1:3" ht="14.4" x14ac:dyDescent="0.3">
      <c r="A35" s="9">
        <v>10112</v>
      </c>
      <c r="B35" s="13">
        <v>10116</v>
      </c>
      <c r="C35" s="44">
        <f t="shared" si="0"/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</cp:lastModifiedBy>
  <dcterms:created xsi:type="dcterms:W3CDTF">2015-02-10T17:33:11Z</dcterms:created>
  <dcterms:modified xsi:type="dcterms:W3CDTF">2024-10-23T12:28:39Z</dcterms:modified>
</cp:coreProperties>
</file>